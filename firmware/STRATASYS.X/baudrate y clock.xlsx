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20" windowWidth="24860" windowHeight="11050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B6" i="1"/>
  <c r="B7" s="1"/>
  <c r="B13" s="1"/>
  <c r="B14" l="1"/>
  <c r="B15" s="1"/>
</calcChain>
</file>

<file path=xl/sharedStrings.xml><?xml version="1.0" encoding="utf-8"?>
<sst xmlns="http://schemas.openxmlformats.org/spreadsheetml/2006/main" count="11" uniqueCount="11">
  <si>
    <t>plldiv</t>
  </si>
  <si>
    <t>pllpost</t>
  </si>
  <si>
    <t>pllpre</t>
  </si>
  <si>
    <t>fosc</t>
  </si>
  <si>
    <t>fin</t>
  </si>
  <si>
    <t>fp</t>
  </si>
  <si>
    <t>desired baud rate</t>
  </si>
  <si>
    <t>brgh = 1</t>
  </si>
  <si>
    <t>uxbrg</t>
  </si>
  <si>
    <t>calculated baudrate</t>
  </si>
  <si>
    <t>error 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</si>
</sst>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selection activeCell="B13" sqref="B13"/>
    </sheetView>
  </sheetViews>
  <sheetFormatPr baseColWidth="10" defaultRowHeight="14.5"/>
  <cols>
    <col min="1" max="1" width="17.36328125" bestFit="1" customWidth="1"/>
    <col min="2" max="2" width="11.1796875" bestFit="1" customWidth="1"/>
  </cols>
  <sheetData>
    <row r="1" spans="1:2">
      <c r="A1" t="s">
        <v>4</v>
      </c>
      <c r="B1">
        <v>11.059200000000001</v>
      </c>
    </row>
    <row r="2" spans="1:2">
      <c r="A2" t="s">
        <v>0</v>
      </c>
      <c r="B2">
        <v>20</v>
      </c>
    </row>
    <row r="3" spans="1:2">
      <c r="A3" t="s">
        <v>1</v>
      </c>
      <c r="B3">
        <v>0</v>
      </c>
    </row>
    <row r="4" spans="1:2">
      <c r="A4" t="s">
        <v>2</v>
      </c>
      <c r="B4">
        <v>0</v>
      </c>
    </row>
    <row r="6" spans="1:2">
      <c r="A6" t="s">
        <v>3</v>
      </c>
      <c r="B6">
        <f>B1*(B2+2)/((B4+2)*2*(B3+1))</f>
        <v>60.825600000000001</v>
      </c>
    </row>
    <row r="7" spans="1:2">
      <c r="A7" t="s">
        <v>5</v>
      </c>
      <c r="B7">
        <f>B6/2</f>
        <v>30.412800000000001</v>
      </c>
    </row>
    <row r="10" spans="1:2">
      <c r="A10" t="s">
        <v>6</v>
      </c>
      <c r="B10">
        <v>115200</v>
      </c>
    </row>
    <row r="11" spans="1:2">
      <c r="A11" t="s">
        <v>7</v>
      </c>
    </row>
    <row r="13" spans="1:2">
      <c r="A13" t="s">
        <v>8</v>
      </c>
      <c r="B13">
        <f>ROUND(B7*1000000/(4*B10)-1, 0)</f>
        <v>65</v>
      </c>
    </row>
    <row r="14" spans="1:2">
      <c r="A14" t="s">
        <v>9</v>
      </c>
      <c r="B14">
        <f>B7*1000000/(4*(B13+1))</f>
        <v>115200</v>
      </c>
    </row>
    <row r="15" spans="1:2">
      <c r="A15" t="s">
        <v>10</v>
      </c>
      <c r="B15">
        <f>(B14-B10)/B10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2018-11-29T22:46:07Z</dcterms:created>
  <dcterms:modified xsi:type="dcterms:W3CDTF">2018-12-08T12:12:23Z</dcterms:modified>
</cp:coreProperties>
</file>